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/>
  </bookViews>
  <sheets>
    <sheet name="AHP FAD Test Performance" sheetId="1" r:id="rId1"/>
  </sheets>
  <calcPr calcId="144525"/>
</workbook>
</file>

<file path=xl/calcChain.xml><?xml version="1.0" encoding="utf-8"?>
<calcChain xmlns="http://schemas.openxmlformats.org/spreadsheetml/2006/main">
  <c r="V15" i="1" l="1"/>
  <c r="V17" i="1" s="1"/>
  <c r="R15" i="1"/>
  <c r="R17" i="1" s="1"/>
  <c r="N15" i="1"/>
  <c r="N17" i="1" s="1"/>
  <c r="J15" i="1"/>
  <c r="J17" i="1" s="1"/>
  <c r="F15" i="1"/>
  <c r="F17" i="1" s="1"/>
  <c r="W14" i="1"/>
  <c r="W15" i="1" s="1"/>
  <c r="W17" i="1" s="1"/>
  <c r="V14" i="1"/>
  <c r="U14" i="1"/>
  <c r="U15" i="1" s="1"/>
  <c r="U17" i="1" s="1"/>
  <c r="T14" i="1"/>
  <c r="T15" i="1" s="1"/>
  <c r="T17" i="1" s="1"/>
  <c r="S14" i="1"/>
  <c r="S15" i="1" s="1"/>
  <c r="S17" i="1" s="1"/>
  <c r="R14" i="1"/>
  <c r="Q14" i="1"/>
  <c r="Q15" i="1" s="1"/>
  <c r="Q17" i="1" s="1"/>
  <c r="P14" i="1"/>
  <c r="P15" i="1" s="1"/>
  <c r="P17" i="1" s="1"/>
  <c r="O14" i="1"/>
  <c r="O15" i="1" s="1"/>
  <c r="O17" i="1" s="1"/>
  <c r="N14" i="1"/>
  <c r="M14" i="1"/>
  <c r="M15" i="1" s="1"/>
  <c r="M17" i="1" s="1"/>
  <c r="L14" i="1"/>
  <c r="L15" i="1" s="1"/>
  <c r="L17" i="1" s="1"/>
  <c r="K14" i="1"/>
  <c r="K15" i="1" s="1"/>
  <c r="K17" i="1" s="1"/>
  <c r="J14" i="1"/>
  <c r="I14" i="1"/>
  <c r="I15" i="1" s="1"/>
  <c r="I17" i="1" s="1"/>
  <c r="H14" i="1"/>
  <c r="H15" i="1" s="1"/>
  <c r="H17" i="1" s="1"/>
  <c r="G14" i="1"/>
  <c r="G15" i="1" s="1"/>
  <c r="G17" i="1" s="1"/>
  <c r="F14" i="1"/>
  <c r="E14" i="1"/>
  <c r="E15" i="1" s="1"/>
  <c r="E17" i="1" s="1"/>
  <c r="D14" i="1"/>
  <c r="D15" i="1" s="1"/>
  <c r="D17" i="1" s="1"/>
  <c r="C14" i="1"/>
  <c r="C15" i="1" s="1"/>
  <c r="C17" i="1" s="1"/>
  <c r="S13" i="1"/>
</calcChain>
</file>

<file path=xl/sharedStrings.xml><?xml version="1.0" encoding="utf-8"?>
<sst xmlns="http://schemas.openxmlformats.org/spreadsheetml/2006/main" count="39" uniqueCount="29">
  <si>
    <t>FAD TEST PERFORMANCE FOR AHP PLANT</t>
  </si>
  <si>
    <t>Sr. No.</t>
  </si>
  <si>
    <t>UNIT</t>
  </si>
  <si>
    <t>Location</t>
  </si>
  <si>
    <t>AHP</t>
  </si>
  <si>
    <t>Area</t>
  </si>
  <si>
    <t>Air Compressor 1</t>
  </si>
  <si>
    <t>Air Compressor 2</t>
  </si>
  <si>
    <t>Air Compressor 3</t>
  </si>
  <si>
    <t>Air Compressor 4</t>
  </si>
  <si>
    <t xml:space="preserve">Rated Air Flow </t>
  </si>
  <si>
    <t>L/S</t>
  </si>
  <si>
    <t>Rated Power</t>
  </si>
  <si>
    <t>kW</t>
  </si>
  <si>
    <t xml:space="preserve">Set point Pressure </t>
  </si>
  <si>
    <t>(kg/cm2)</t>
  </si>
  <si>
    <t>Test Pressure</t>
  </si>
  <si>
    <t>Amb. Pressure</t>
  </si>
  <si>
    <t>Receiver Volume with Pipe</t>
  </si>
  <si>
    <t>m3</t>
  </si>
  <si>
    <t>Initial Pressure</t>
  </si>
  <si>
    <t>Final Pressure</t>
  </si>
  <si>
    <t>Time</t>
  </si>
  <si>
    <t>Sec</t>
  </si>
  <si>
    <t>FAD Test</t>
  </si>
  <si>
    <t>CFM</t>
  </si>
  <si>
    <t>Power</t>
  </si>
  <si>
    <t>SEC</t>
  </si>
  <si>
    <t>kW/CFM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</si>
</sst>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1" fontId="3" fillId="0" borderId="7" xfId="0" applyNumberFormat="1" applyFont="1" applyFill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workbookViewId="0">
      <selection activeCell="O23" sqref="O23"/>
    </sheetView>
  </sheetViews>
  <sheetFormatPr defaultRowHeight="15" x14ac:dyDescent="0.25"/>
  <cols>
    <col min="1" max="1" width="16.140625" customWidth="1"/>
    <col min="2" max="2" width="11.42578125" customWidth="1"/>
    <col min="3" max="23" width="6.7109375" customWidth="1"/>
  </cols>
  <sheetData>
    <row r="1" spans="1:23" ht="15" customHeight="1" thickBot="1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8" customFormat="1" x14ac:dyDescent="0.25">
      <c r="A2" s="3" t="s">
        <v>1</v>
      </c>
      <c r="B2" s="4" t="s">
        <v>2</v>
      </c>
      <c r="C2" s="5">
        <v>1</v>
      </c>
      <c r="D2" s="6">
        <v>2</v>
      </c>
      <c r="E2" s="6">
        <v>3</v>
      </c>
      <c r="F2" s="6">
        <v>4</v>
      </c>
      <c r="G2" s="6">
        <v>5</v>
      </c>
      <c r="H2" s="7">
        <v>6</v>
      </c>
      <c r="I2" s="5">
        <v>7</v>
      </c>
      <c r="J2" s="6">
        <v>8</v>
      </c>
      <c r="K2" s="6">
        <v>9</v>
      </c>
      <c r="L2" s="6">
        <v>10</v>
      </c>
      <c r="M2" s="7">
        <v>11</v>
      </c>
      <c r="N2" s="5">
        <v>12</v>
      </c>
      <c r="O2" s="6">
        <v>13</v>
      </c>
      <c r="P2" s="6">
        <v>14</v>
      </c>
      <c r="Q2" s="6">
        <v>15</v>
      </c>
      <c r="R2" s="7">
        <v>16</v>
      </c>
      <c r="S2" s="5">
        <v>17</v>
      </c>
      <c r="T2" s="6">
        <v>18</v>
      </c>
      <c r="U2" s="6">
        <v>19</v>
      </c>
      <c r="V2" s="6">
        <v>20</v>
      </c>
      <c r="W2" s="7">
        <v>21</v>
      </c>
    </row>
    <row r="3" spans="1:23" s="8" customFormat="1" x14ac:dyDescent="0.25">
      <c r="A3" s="3" t="s">
        <v>3</v>
      </c>
      <c r="B3" s="4"/>
      <c r="C3" s="9" t="s">
        <v>4</v>
      </c>
      <c r="D3" s="1"/>
      <c r="E3" s="1"/>
      <c r="F3" s="1"/>
      <c r="G3" s="1"/>
      <c r="H3" s="10"/>
      <c r="I3" s="9" t="s">
        <v>4</v>
      </c>
      <c r="J3" s="1"/>
      <c r="K3" s="1"/>
      <c r="L3" s="1"/>
      <c r="M3" s="10"/>
      <c r="N3" s="9" t="s">
        <v>4</v>
      </c>
      <c r="O3" s="1"/>
      <c r="P3" s="1"/>
      <c r="Q3" s="1"/>
      <c r="R3" s="10"/>
      <c r="S3" s="9" t="s">
        <v>4</v>
      </c>
      <c r="T3" s="1"/>
      <c r="U3" s="1"/>
      <c r="V3" s="1"/>
      <c r="W3" s="10"/>
    </row>
    <row r="4" spans="1:23" s="8" customFormat="1" x14ac:dyDescent="0.25">
      <c r="A4" s="3" t="s">
        <v>5</v>
      </c>
      <c r="B4" s="4"/>
      <c r="C4" s="9" t="s">
        <v>6</v>
      </c>
      <c r="D4" s="1"/>
      <c r="E4" s="1"/>
      <c r="F4" s="1"/>
      <c r="G4" s="1"/>
      <c r="H4" s="10"/>
      <c r="I4" s="9" t="s">
        <v>7</v>
      </c>
      <c r="J4" s="1"/>
      <c r="K4" s="1"/>
      <c r="L4" s="1"/>
      <c r="M4" s="10"/>
      <c r="N4" s="9" t="s">
        <v>8</v>
      </c>
      <c r="O4" s="1"/>
      <c r="P4" s="1"/>
      <c r="Q4" s="1"/>
      <c r="R4" s="10"/>
      <c r="S4" s="9" t="s">
        <v>9</v>
      </c>
      <c r="T4" s="1"/>
      <c r="U4" s="1"/>
      <c r="V4" s="1"/>
      <c r="W4" s="10"/>
    </row>
    <row r="5" spans="1:23" x14ac:dyDescent="0.25">
      <c r="A5" s="3" t="s">
        <v>10</v>
      </c>
      <c r="B5" s="4" t="s">
        <v>11</v>
      </c>
      <c r="C5" s="11">
        <v>1724</v>
      </c>
      <c r="D5" s="12"/>
      <c r="E5" s="12"/>
      <c r="F5" s="12"/>
      <c r="G5" s="12"/>
      <c r="H5" s="13"/>
      <c r="I5" s="11">
        <v>1724</v>
      </c>
      <c r="J5" s="12"/>
      <c r="K5" s="12"/>
      <c r="L5" s="12"/>
      <c r="M5" s="13"/>
      <c r="N5" s="11">
        <v>1724</v>
      </c>
      <c r="O5" s="12"/>
      <c r="P5" s="12"/>
      <c r="Q5" s="12"/>
      <c r="R5" s="13"/>
      <c r="S5" s="11">
        <v>1724</v>
      </c>
      <c r="T5" s="12"/>
      <c r="U5" s="12"/>
      <c r="V5" s="12"/>
      <c r="W5" s="13"/>
    </row>
    <row r="6" spans="1:23" x14ac:dyDescent="0.25">
      <c r="A6" s="3" t="s">
        <v>12</v>
      </c>
      <c r="B6" s="4" t="s">
        <v>13</v>
      </c>
      <c r="C6" s="11">
        <v>630</v>
      </c>
      <c r="D6" s="12"/>
      <c r="E6" s="12"/>
      <c r="F6" s="12"/>
      <c r="G6" s="12"/>
      <c r="H6" s="13"/>
      <c r="I6" s="11">
        <v>630</v>
      </c>
      <c r="J6" s="12"/>
      <c r="K6" s="12"/>
      <c r="L6" s="12"/>
      <c r="M6" s="13"/>
      <c r="N6" s="11">
        <v>630</v>
      </c>
      <c r="O6" s="12"/>
      <c r="P6" s="12"/>
      <c r="Q6" s="12"/>
      <c r="R6" s="13"/>
      <c r="S6" s="11">
        <v>630</v>
      </c>
      <c r="T6" s="12"/>
      <c r="U6" s="12"/>
      <c r="V6" s="12"/>
      <c r="W6" s="13"/>
    </row>
    <row r="7" spans="1:23" x14ac:dyDescent="0.25">
      <c r="A7" s="3" t="s">
        <v>14</v>
      </c>
      <c r="B7" s="4" t="s">
        <v>15</v>
      </c>
      <c r="C7" s="11">
        <v>6.1</v>
      </c>
      <c r="D7" s="12"/>
      <c r="E7" s="12"/>
      <c r="F7" s="12"/>
      <c r="G7" s="12"/>
      <c r="H7" s="13"/>
      <c r="I7" s="11">
        <v>6.1</v>
      </c>
      <c r="J7" s="12"/>
      <c r="K7" s="12"/>
      <c r="L7" s="12"/>
      <c r="M7" s="13"/>
      <c r="N7" s="11">
        <v>6.1</v>
      </c>
      <c r="O7" s="12"/>
      <c r="P7" s="12"/>
      <c r="Q7" s="12"/>
      <c r="R7" s="13"/>
      <c r="S7" s="11">
        <v>6.1</v>
      </c>
      <c r="T7" s="12"/>
      <c r="U7" s="12"/>
      <c r="V7" s="12"/>
      <c r="W7" s="13"/>
    </row>
    <row r="8" spans="1:23" x14ac:dyDescent="0.25">
      <c r="A8" s="3" t="s">
        <v>16</v>
      </c>
      <c r="B8" s="4" t="s">
        <v>15</v>
      </c>
      <c r="C8" s="14">
        <v>1</v>
      </c>
      <c r="D8" s="15">
        <v>2</v>
      </c>
      <c r="E8" s="15">
        <v>3</v>
      </c>
      <c r="F8" s="15">
        <v>4</v>
      </c>
      <c r="G8" s="15">
        <v>5</v>
      </c>
      <c r="H8" s="16">
        <v>6</v>
      </c>
      <c r="I8" s="14">
        <v>2</v>
      </c>
      <c r="J8" s="15">
        <v>3</v>
      </c>
      <c r="K8" s="15">
        <v>4</v>
      </c>
      <c r="L8" s="15">
        <v>5</v>
      </c>
      <c r="M8" s="16">
        <v>6</v>
      </c>
      <c r="N8" s="14">
        <v>2</v>
      </c>
      <c r="O8" s="15">
        <v>3</v>
      </c>
      <c r="P8" s="15">
        <v>4</v>
      </c>
      <c r="Q8" s="15">
        <v>5</v>
      </c>
      <c r="R8" s="16">
        <v>6</v>
      </c>
      <c r="S8" s="14">
        <v>2</v>
      </c>
      <c r="T8" s="15">
        <v>3</v>
      </c>
      <c r="U8" s="15">
        <v>4</v>
      </c>
      <c r="V8" s="15">
        <v>5</v>
      </c>
      <c r="W8" s="16">
        <v>6</v>
      </c>
    </row>
    <row r="9" spans="1:23" x14ac:dyDescent="0.25">
      <c r="A9" s="3" t="s">
        <v>17</v>
      </c>
      <c r="B9" s="4" t="s">
        <v>15</v>
      </c>
      <c r="C9" s="14">
        <v>1.026</v>
      </c>
      <c r="D9" s="15">
        <v>1.026</v>
      </c>
      <c r="E9" s="15">
        <v>1.026</v>
      </c>
      <c r="F9" s="15">
        <v>1.026</v>
      </c>
      <c r="G9" s="15">
        <v>1.026</v>
      </c>
      <c r="H9" s="16">
        <v>1.026</v>
      </c>
      <c r="I9" s="14">
        <v>1.026</v>
      </c>
      <c r="J9" s="15">
        <v>1.026</v>
      </c>
      <c r="K9" s="15">
        <v>1.026</v>
      </c>
      <c r="L9" s="15">
        <v>1.026</v>
      </c>
      <c r="M9" s="16">
        <v>1.026</v>
      </c>
      <c r="N9" s="14">
        <v>1.026</v>
      </c>
      <c r="O9" s="15">
        <v>1.026</v>
      </c>
      <c r="P9" s="15">
        <v>1.026</v>
      </c>
      <c r="Q9" s="15">
        <v>1.026</v>
      </c>
      <c r="R9" s="16">
        <v>1.026</v>
      </c>
      <c r="S9" s="14">
        <v>1.026</v>
      </c>
      <c r="T9" s="15">
        <v>1.026</v>
      </c>
      <c r="U9" s="15">
        <v>1.026</v>
      </c>
      <c r="V9" s="15">
        <v>1.026</v>
      </c>
      <c r="W9" s="16">
        <v>1.026</v>
      </c>
    </row>
    <row r="10" spans="1:23" ht="25.5" x14ac:dyDescent="0.25">
      <c r="A10" s="3" t="s">
        <v>18</v>
      </c>
      <c r="B10" s="4" t="s">
        <v>19</v>
      </c>
      <c r="C10" s="17">
        <v>22.979859999999999</v>
      </c>
      <c r="D10" s="18">
        <v>22.979859999999999</v>
      </c>
      <c r="E10" s="18">
        <v>22.979859999999999</v>
      </c>
      <c r="F10" s="18">
        <v>22.979859999999999</v>
      </c>
      <c r="G10" s="18">
        <v>22.979859999999999</v>
      </c>
      <c r="H10" s="19">
        <v>22.979859999999999</v>
      </c>
      <c r="I10" s="17">
        <v>22.979859999999999</v>
      </c>
      <c r="J10" s="18">
        <v>22.979859999999999</v>
      </c>
      <c r="K10" s="18">
        <v>22.979859999999999</v>
      </c>
      <c r="L10" s="18">
        <v>22.979859999999999</v>
      </c>
      <c r="M10" s="19">
        <v>22.979859999999999</v>
      </c>
      <c r="N10" s="17">
        <v>22.979859999999999</v>
      </c>
      <c r="O10" s="18">
        <v>22.979859999999999</v>
      </c>
      <c r="P10" s="18">
        <v>22.979859999999999</v>
      </c>
      <c r="Q10" s="18">
        <v>22.979859999999999</v>
      </c>
      <c r="R10" s="19">
        <v>22.979859999999999</v>
      </c>
      <c r="S10" s="17">
        <v>22.979859999999999</v>
      </c>
      <c r="T10" s="18">
        <v>22.979859999999999</v>
      </c>
      <c r="U10" s="18">
        <v>22.979859999999999</v>
      </c>
      <c r="V10" s="18">
        <v>22.979859999999999</v>
      </c>
      <c r="W10" s="19">
        <v>22.979859999999999</v>
      </c>
    </row>
    <row r="11" spans="1:23" x14ac:dyDescent="0.25">
      <c r="A11" s="3" t="s">
        <v>20</v>
      </c>
      <c r="B11" s="4" t="s">
        <v>15</v>
      </c>
      <c r="C11" s="14">
        <v>0</v>
      </c>
      <c r="D11" s="15">
        <v>1</v>
      </c>
      <c r="E11" s="15">
        <v>2</v>
      </c>
      <c r="F11" s="15">
        <v>3</v>
      </c>
      <c r="G11" s="15">
        <v>4</v>
      </c>
      <c r="H11" s="16">
        <v>5</v>
      </c>
      <c r="I11" s="14">
        <v>1</v>
      </c>
      <c r="J11" s="15">
        <v>2</v>
      </c>
      <c r="K11" s="15">
        <v>3</v>
      </c>
      <c r="L11" s="15">
        <v>4</v>
      </c>
      <c r="M11" s="16">
        <v>5</v>
      </c>
      <c r="N11" s="14">
        <v>1</v>
      </c>
      <c r="O11" s="15">
        <v>2</v>
      </c>
      <c r="P11" s="15">
        <v>3</v>
      </c>
      <c r="Q11" s="15">
        <v>4</v>
      </c>
      <c r="R11" s="16">
        <v>5</v>
      </c>
      <c r="S11" s="14">
        <v>1</v>
      </c>
      <c r="T11" s="15">
        <v>2</v>
      </c>
      <c r="U11" s="15">
        <v>3</v>
      </c>
      <c r="V11" s="15">
        <v>4</v>
      </c>
      <c r="W11" s="16">
        <v>5</v>
      </c>
    </row>
    <row r="12" spans="1:23" x14ac:dyDescent="0.25">
      <c r="A12" s="3" t="s">
        <v>21</v>
      </c>
      <c r="B12" s="4" t="s">
        <v>15</v>
      </c>
      <c r="C12" s="14">
        <v>1</v>
      </c>
      <c r="D12" s="15">
        <v>2</v>
      </c>
      <c r="E12" s="15">
        <v>3</v>
      </c>
      <c r="F12" s="15">
        <v>4</v>
      </c>
      <c r="G12" s="15">
        <v>5</v>
      </c>
      <c r="H12" s="16">
        <v>6</v>
      </c>
      <c r="I12" s="14">
        <v>2</v>
      </c>
      <c r="J12" s="15">
        <v>3</v>
      </c>
      <c r="K12" s="15">
        <v>4</v>
      </c>
      <c r="L12" s="15">
        <v>5</v>
      </c>
      <c r="M12" s="16">
        <v>6</v>
      </c>
      <c r="N12" s="14">
        <v>2</v>
      </c>
      <c r="O12" s="15">
        <v>3</v>
      </c>
      <c r="P12" s="15">
        <v>4</v>
      </c>
      <c r="Q12" s="15">
        <v>5</v>
      </c>
      <c r="R12" s="16">
        <v>6</v>
      </c>
      <c r="S12" s="14">
        <v>2</v>
      </c>
      <c r="T12" s="15">
        <v>3</v>
      </c>
      <c r="U12" s="15">
        <v>4</v>
      </c>
      <c r="V12" s="15">
        <v>5</v>
      </c>
      <c r="W12" s="16">
        <v>6</v>
      </c>
    </row>
    <row r="13" spans="1:23" x14ac:dyDescent="0.25">
      <c r="A13" s="3" t="s">
        <v>22</v>
      </c>
      <c r="B13" s="4" t="s">
        <v>23</v>
      </c>
      <c r="C13" s="14">
        <v>13.23</v>
      </c>
      <c r="D13" s="15">
        <v>14.24</v>
      </c>
      <c r="E13" s="15">
        <v>13</v>
      </c>
      <c r="F13" s="15">
        <v>13.98</v>
      </c>
      <c r="G13" s="15">
        <v>14.27</v>
      </c>
      <c r="H13" s="16">
        <v>13.87</v>
      </c>
      <c r="I13" s="14">
        <v>14.08</v>
      </c>
      <c r="J13" s="15">
        <v>15.01</v>
      </c>
      <c r="K13" s="15">
        <v>14.42</v>
      </c>
      <c r="L13" s="15">
        <v>15.01</v>
      </c>
      <c r="M13" s="16">
        <v>15.13</v>
      </c>
      <c r="N13" s="14">
        <v>13.71</v>
      </c>
      <c r="O13" s="15">
        <v>14.66</v>
      </c>
      <c r="P13" s="15">
        <v>14.65</v>
      </c>
      <c r="Q13" s="15">
        <v>15.17</v>
      </c>
      <c r="R13" s="16">
        <v>15.75</v>
      </c>
      <c r="S13" s="14">
        <f>16.48-2.74</f>
        <v>13.74</v>
      </c>
      <c r="T13" s="15">
        <v>13.46</v>
      </c>
      <c r="U13" s="15">
        <v>13.79</v>
      </c>
      <c r="V13" s="15">
        <v>14.07</v>
      </c>
      <c r="W13" s="16">
        <v>14.47</v>
      </c>
    </row>
    <row r="14" spans="1:23" x14ac:dyDescent="0.25">
      <c r="A14" s="3" t="s">
        <v>24</v>
      </c>
      <c r="B14" s="4" t="s">
        <v>11</v>
      </c>
      <c r="C14" s="20">
        <f t="shared" ref="C14:W14" si="0">(C12-C11)/C9*(C10/(C13))*1000</f>
        <v>1692.9345704060265</v>
      </c>
      <c r="D14" s="21">
        <f t="shared" si="0"/>
        <v>1572.8598571960486</v>
      </c>
      <c r="E14" s="21">
        <f t="shared" si="0"/>
        <v>1722.8864897285946</v>
      </c>
      <c r="F14" s="21">
        <f t="shared" si="0"/>
        <v>1602.1119003198664</v>
      </c>
      <c r="G14" s="21">
        <f t="shared" si="0"/>
        <v>1569.5532141886288</v>
      </c>
      <c r="H14" s="22">
        <f t="shared" si="0"/>
        <v>1614.81790673913</v>
      </c>
      <c r="I14" s="20">
        <f t="shared" si="0"/>
        <v>1590.7332646641853</v>
      </c>
      <c r="J14" s="21">
        <f t="shared" si="0"/>
        <v>1492.1735087589429</v>
      </c>
      <c r="K14" s="21">
        <f t="shared" si="0"/>
        <v>1553.2263777026167</v>
      </c>
      <c r="L14" s="21">
        <f t="shared" si="0"/>
        <v>1492.1735087589429</v>
      </c>
      <c r="M14" s="22">
        <f t="shared" si="0"/>
        <v>1480.3386891256926</v>
      </c>
      <c r="N14" s="20">
        <f t="shared" si="0"/>
        <v>1633.6633381817455</v>
      </c>
      <c r="O14" s="21">
        <f t="shared" si="0"/>
        <v>1527.7983878902953</v>
      </c>
      <c r="P14" s="21">
        <f t="shared" si="0"/>
        <v>1528.8412536840772</v>
      </c>
      <c r="Q14" s="21">
        <f t="shared" si="0"/>
        <v>1476.4353570515314</v>
      </c>
      <c r="R14" s="22">
        <f t="shared" si="0"/>
        <v>1422.0650391410622</v>
      </c>
      <c r="S14" s="20">
        <f t="shared" si="0"/>
        <v>1630.0963876616981</v>
      </c>
      <c r="T14" s="21">
        <f t="shared" si="0"/>
        <v>1664.0062679399502</v>
      </c>
      <c r="U14" s="21">
        <f t="shared" si="0"/>
        <v>1624.1859584098431</v>
      </c>
      <c r="V14" s="21">
        <f t="shared" si="0"/>
        <v>1591.8638497847712</v>
      </c>
      <c r="W14" s="22">
        <f t="shared" si="0"/>
        <v>1547.8593204196081</v>
      </c>
    </row>
    <row r="15" spans="1:23" x14ac:dyDescent="0.25">
      <c r="A15" s="3" t="s">
        <v>24</v>
      </c>
      <c r="B15" s="4" t="s">
        <v>25</v>
      </c>
      <c r="C15" s="20">
        <f t="shared" ref="C15:W15" si="1">C14*2.11886</f>
        <v>3587.0913438505136</v>
      </c>
      <c r="D15" s="21">
        <f t="shared" si="1"/>
        <v>3332.6698370184199</v>
      </c>
      <c r="E15" s="21">
        <f t="shared" si="1"/>
        <v>3650.5552676263301</v>
      </c>
      <c r="F15" s="21">
        <f t="shared" si="1"/>
        <v>3394.6508211117525</v>
      </c>
      <c r="G15" s="21">
        <f t="shared" si="1"/>
        <v>3325.6635234157184</v>
      </c>
      <c r="H15" s="22">
        <f t="shared" si="1"/>
        <v>3421.5730698732732</v>
      </c>
      <c r="I15" s="20">
        <f t="shared" si="1"/>
        <v>3370.541085166356</v>
      </c>
      <c r="J15" s="21">
        <f t="shared" si="1"/>
        <v>3161.7067607689742</v>
      </c>
      <c r="K15" s="21">
        <f t="shared" si="1"/>
        <v>3291.0692426589667</v>
      </c>
      <c r="L15" s="21">
        <f t="shared" si="1"/>
        <v>3161.7067607689742</v>
      </c>
      <c r="M15" s="22">
        <f t="shared" si="1"/>
        <v>3136.6304348408653</v>
      </c>
      <c r="N15" s="20">
        <f t="shared" si="1"/>
        <v>3461.5039007397736</v>
      </c>
      <c r="O15" s="21">
        <f t="shared" si="1"/>
        <v>3237.1908921652316</v>
      </c>
      <c r="P15" s="21">
        <f t="shared" si="1"/>
        <v>3239.4005787810443</v>
      </c>
      <c r="Q15" s="21">
        <f t="shared" si="1"/>
        <v>3128.359820642208</v>
      </c>
      <c r="R15" s="22">
        <f t="shared" si="1"/>
        <v>3013.1567288344313</v>
      </c>
      <c r="S15" s="20">
        <f t="shared" si="1"/>
        <v>3453.9460319608661</v>
      </c>
      <c r="T15" s="21">
        <f t="shared" si="1"/>
        <v>3525.7963208872434</v>
      </c>
      <c r="U15" s="21">
        <f t="shared" si="1"/>
        <v>3441.4226598362807</v>
      </c>
      <c r="V15" s="21">
        <f t="shared" si="1"/>
        <v>3372.9366367549605</v>
      </c>
      <c r="W15" s="22">
        <f t="shared" si="1"/>
        <v>3279.697199664291</v>
      </c>
    </row>
    <row r="16" spans="1:23" x14ac:dyDescent="0.25">
      <c r="A16" s="3" t="s">
        <v>26</v>
      </c>
      <c r="B16" s="4" t="s">
        <v>13</v>
      </c>
      <c r="C16" s="14">
        <v>398</v>
      </c>
      <c r="D16" s="15">
        <v>424.9</v>
      </c>
      <c r="E16" s="15">
        <v>447.9</v>
      </c>
      <c r="F16" s="15">
        <v>475.2</v>
      </c>
      <c r="G16" s="15">
        <v>500.6</v>
      </c>
      <c r="H16" s="16">
        <v>600.79999999999995</v>
      </c>
      <c r="I16" s="23">
        <v>417.9</v>
      </c>
      <c r="J16" s="24">
        <v>444.7</v>
      </c>
      <c r="K16" s="24">
        <v>472</v>
      </c>
      <c r="L16" s="24">
        <v>499.7</v>
      </c>
      <c r="M16" s="25">
        <v>526.1</v>
      </c>
      <c r="N16" s="26">
        <v>425.9</v>
      </c>
      <c r="O16" s="24">
        <v>451.3</v>
      </c>
      <c r="P16" s="24">
        <v>481.4</v>
      </c>
      <c r="Q16" s="24">
        <v>514.1</v>
      </c>
      <c r="R16" s="25">
        <v>549.6</v>
      </c>
      <c r="S16" s="23">
        <v>483.36</v>
      </c>
      <c r="T16" s="24">
        <v>502.58</v>
      </c>
      <c r="U16" s="24">
        <v>522.36</v>
      </c>
      <c r="V16" s="24">
        <v>543.89</v>
      </c>
      <c r="W16" s="25">
        <v>566.94000000000005</v>
      </c>
    </row>
    <row r="17" spans="1:23" s="8" customFormat="1" ht="15.75" thickBot="1" x14ac:dyDescent="0.3">
      <c r="A17" s="3" t="s">
        <v>27</v>
      </c>
      <c r="B17" s="4" t="s">
        <v>28</v>
      </c>
      <c r="C17" s="27">
        <f t="shared" ref="C17:W17" si="2">C16/C15</f>
        <v>0.11095340537739762</v>
      </c>
      <c r="D17" s="28">
        <f t="shared" si="2"/>
        <v>0.12749537781400441</v>
      </c>
      <c r="E17" s="28">
        <f t="shared" si="2"/>
        <v>0.12269366361113448</v>
      </c>
      <c r="F17" s="28">
        <f t="shared" si="2"/>
        <v>0.13998494249973298</v>
      </c>
      <c r="G17" s="28">
        <f t="shared" si="2"/>
        <v>0.15052635255350319</v>
      </c>
      <c r="H17" s="29">
        <f t="shared" si="2"/>
        <v>0.17559174909634537</v>
      </c>
      <c r="I17" s="27">
        <f t="shared" si="2"/>
        <v>0.12398602759633003</v>
      </c>
      <c r="J17" s="28">
        <f t="shared" si="2"/>
        <v>0.14065188002819159</v>
      </c>
      <c r="K17" s="28">
        <f t="shared" si="2"/>
        <v>0.14341843492136774</v>
      </c>
      <c r="L17" s="28">
        <f t="shared" si="2"/>
        <v>0.15804754767278464</v>
      </c>
      <c r="M17" s="29">
        <f t="shared" si="2"/>
        <v>0.16772776102540474</v>
      </c>
      <c r="N17" s="27">
        <f t="shared" si="2"/>
        <v>0.123039006227605</v>
      </c>
      <c r="O17" s="28">
        <f t="shared" si="2"/>
        <v>0.13941099398625298</v>
      </c>
      <c r="P17" s="28">
        <f t="shared" si="2"/>
        <v>0.1486077403187803</v>
      </c>
      <c r="Q17" s="28">
        <f t="shared" si="2"/>
        <v>0.16433531610007143</v>
      </c>
      <c r="R17" s="29">
        <f t="shared" si="2"/>
        <v>0.18240007057734425</v>
      </c>
      <c r="S17" s="27">
        <f t="shared" si="2"/>
        <v>0.13994428272105572</v>
      </c>
      <c r="T17" s="28">
        <f t="shared" si="2"/>
        <v>0.1425436849606585</v>
      </c>
      <c r="U17" s="28">
        <f t="shared" si="2"/>
        <v>0.15178606397182562</v>
      </c>
      <c r="V17" s="28">
        <f t="shared" si="2"/>
        <v>0.16125117622229229</v>
      </c>
      <c r="W17" s="29">
        <f t="shared" si="2"/>
        <v>0.17286351924745733</v>
      </c>
    </row>
  </sheetData>
  <mergeCells count="21">
    <mergeCell ref="C7:H7"/>
    <mergeCell ref="I7:M7"/>
    <mergeCell ref="N7:R7"/>
    <mergeCell ref="S7:W7"/>
    <mergeCell ref="C5:H5"/>
    <mergeCell ref="I5:M5"/>
    <mergeCell ref="N5:R5"/>
    <mergeCell ref="S5:W5"/>
    <mergeCell ref="C6:H6"/>
    <mergeCell ref="I6:M6"/>
    <mergeCell ref="N6:R6"/>
    <mergeCell ref="S6:W6"/>
    <mergeCell ref="A1:W1"/>
    <mergeCell ref="C3:H3"/>
    <mergeCell ref="I3:M3"/>
    <mergeCell ref="N3:R3"/>
    <mergeCell ref="S3:W3"/>
    <mergeCell ref="C4:H4"/>
    <mergeCell ref="I4:M4"/>
    <mergeCell ref="N4:R4"/>
    <mergeCell ref="S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AHP FAD Test 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2026-03-09T06:14:49Z</dcterms:created>
  <dcterms:modified xsi:type="dcterms:W3CDTF">2026-03-09T06:15:07Z</dcterms:modified>
</cp:coreProperties>
</file>