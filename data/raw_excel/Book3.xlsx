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AHP Air Compressor@ Velocity" sheetId="1" r:id="rId1"/>
  </sheets>
  <calcPr calcId="144525"/>
</workbook>
</file>

<file path=xl/calcChain.xml><?xml version="1.0" encoding="utf-8"?>
<calcChain xmlns="http://schemas.openxmlformats.org/spreadsheetml/2006/main">
  <c r="D33" i="1" l="1"/>
  <c r="C33" i="1"/>
  <c r="D27" i="1"/>
  <c r="D29" i="1" s="1"/>
  <c r="D30" i="1" s="1"/>
  <c r="C27" i="1"/>
  <c r="C29" i="1" s="1"/>
  <c r="C30" i="1" s="1"/>
  <c r="D20" i="1"/>
  <c r="C20" i="1"/>
  <c r="D18" i="1"/>
  <c r="D31" i="1" s="1"/>
  <c r="C18" i="1"/>
  <c r="C31" i="1" s="1"/>
  <c r="D9" i="1"/>
  <c r="C9" i="1"/>
  <c r="D32" i="1" l="1"/>
  <c r="C34" i="1"/>
  <c r="C32" i="1"/>
  <c r="D34" i="1"/>
</calcChain>
</file>

<file path=xl/sharedStrings.xml><?xml version="1.0" encoding="utf-8"?>
<sst xmlns="http://schemas.openxmlformats.org/spreadsheetml/2006/main" count="67" uniqueCount="51">
  <si>
    <t>Air Velocity Performance for AHP Air Compressor</t>
  </si>
  <si>
    <t>Sr. No.</t>
  </si>
  <si>
    <t>Units</t>
  </si>
  <si>
    <t>Location</t>
  </si>
  <si>
    <t>AHP</t>
  </si>
  <si>
    <t>Name of Air Compressor</t>
  </si>
  <si>
    <t>ASH AC 2</t>
  </si>
  <si>
    <t>ASH AC 4</t>
  </si>
  <si>
    <t>Rated Data</t>
  </si>
  <si>
    <t>Make</t>
  </si>
  <si>
    <t>Atlas Copco</t>
  </si>
  <si>
    <t>Model</t>
  </si>
  <si>
    <t>ZR630</t>
  </si>
  <si>
    <t>FAD Capacity</t>
  </si>
  <si>
    <t>L/S</t>
  </si>
  <si>
    <t>CFM</t>
  </si>
  <si>
    <t>Input Power</t>
  </si>
  <si>
    <t>kW</t>
  </si>
  <si>
    <t xml:space="preserve">Max. Presssure </t>
  </si>
  <si>
    <t>Bar</t>
  </si>
  <si>
    <t>Actual Data</t>
  </si>
  <si>
    <t>Comp. Oulet Pressure</t>
  </si>
  <si>
    <t>kg/cm2</t>
  </si>
  <si>
    <t>Loading Pressure</t>
  </si>
  <si>
    <t>Unloading Pressure</t>
  </si>
  <si>
    <t>Total Running Time</t>
  </si>
  <si>
    <t>Hr</t>
  </si>
  <si>
    <t>Total Loading Time</t>
  </si>
  <si>
    <t>Total Unloading Time</t>
  </si>
  <si>
    <t>Fan Dia</t>
  </si>
  <si>
    <t>mm</t>
  </si>
  <si>
    <t>Area</t>
  </si>
  <si>
    <t>m2</t>
  </si>
  <si>
    <t>Velocity V1</t>
  </si>
  <si>
    <t>m/s</t>
  </si>
  <si>
    <t>Velocity V2</t>
  </si>
  <si>
    <t>Velocity V3</t>
  </si>
  <si>
    <t>Velocity V4</t>
  </si>
  <si>
    <t>Velocity V5</t>
  </si>
  <si>
    <t>Velocity V6</t>
  </si>
  <si>
    <t>AVG Velocity</t>
  </si>
  <si>
    <t>Performances</t>
  </si>
  <si>
    <t>Actual FAD</t>
  </si>
  <si>
    <t>m3/s</t>
  </si>
  <si>
    <t>%leakage in Syteam</t>
  </si>
  <si>
    <t>%</t>
  </si>
  <si>
    <t>Leakage Quantity</t>
  </si>
  <si>
    <t>Load Power</t>
  </si>
  <si>
    <t>SEC</t>
  </si>
  <si>
    <t>kW/CFM</t>
  </si>
  <si>
    <t>Note : ASH AC - Ash Air Compressor, AHP - Ash Handling Plant, SEC - Specific Energy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</si>
</sst>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H18" sqref="H18"/>
    </sheetView>
  </sheetViews>
  <sheetFormatPr defaultRowHeight="23.1" customHeight="1" x14ac:dyDescent="0.25"/>
  <cols>
    <col min="1" max="1" width="24" customWidth="1"/>
    <col min="2" max="4" width="12.5703125" customWidth="1"/>
  </cols>
  <sheetData>
    <row r="1" spans="1:4" ht="23.1" customHeight="1" x14ac:dyDescent="0.25">
      <c r="A1" s="1" t="s">
        <v>0</v>
      </c>
      <c r="B1" s="1"/>
      <c r="C1" s="1"/>
      <c r="D1" s="1"/>
    </row>
    <row r="2" spans="1:4" ht="15" x14ac:dyDescent="0.25">
      <c r="A2" s="2" t="s">
        <v>1</v>
      </c>
      <c r="B2" s="3" t="s">
        <v>2</v>
      </c>
      <c r="C2" s="3">
        <v>1</v>
      </c>
      <c r="D2" s="3">
        <v>2</v>
      </c>
    </row>
    <row r="3" spans="1:4" ht="15" x14ac:dyDescent="0.25">
      <c r="A3" s="2" t="s">
        <v>3</v>
      </c>
      <c r="B3" s="3"/>
      <c r="C3" s="4" t="s">
        <v>4</v>
      </c>
      <c r="D3" s="5"/>
    </row>
    <row r="4" spans="1:4" ht="22.5" customHeight="1" x14ac:dyDescent="0.25">
      <c r="A4" s="6" t="s">
        <v>5</v>
      </c>
      <c r="B4" s="7"/>
      <c r="C4" s="7" t="s">
        <v>6</v>
      </c>
      <c r="D4" s="7" t="s">
        <v>7</v>
      </c>
    </row>
    <row r="5" spans="1:4" ht="15" x14ac:dyDescent="0.25">
      <c r="A5" s="8" t="s">
        <v>8</v>
      </c>
      <c r="B5" s="9"/>
      <c r="C5" s="10"/>
      <c r="D5" s="11"/>
    </row>
    <row r="6" spans="1:4" ht="15" x14ac:dyDescent="0.25">
      <c r="A6" s="12" t="s">
        <v>9</v>
      </c>
      <c r="B6" s="12"/>
      <c r="C6" s="13" t="s">
        <v>10</v>
      </c>
      <c r="D6" s="13" t="s">
        <v>10</v>
      </c>
    </row>
    <row r="7" spans="1:4" ht="15" x14ac:dyDescent="0.25">
      <c r="A7" s="2" t="s">
        <v>11</v>
      </c>
      <c r="B7" s="2"/>
      <c r="C7" s="14" t="s">
        <v>12</v>
      </c>
      <c r="D7" s="14" t="s">
        <v>12</v>
      </c>
    </row>
    <row r="8" spans="1:4" ht="15" x14ac:dyDescent="0.25">
      <c r="A8" s="2" t="s">
        <v>13</v>
      </c>
      <c r="B8" s="2" t="s">
        <v>14</v>
      </c>
      <c r="C8" s="14">
        <v>1724</v>
      </c>
      <c r="D8" s="14">
        <v>1724</v>
      </c>
    </row>
    <row r="9" spans="1:4" ht="15" x14ac:dyDescent="0.25">
      <c r="A9" s="2" t="s">
        <v>13</v>
      </c>
      <c r="B9" s="2" t="s">
        <v>15</v>
      </c>
      <c r="C9" s="15">
        <f>C8*2118.86/1000</f>
        <v>3652.91464</v>
      </c>
      <c r="D9" s="15">
        <f>D8*2118.86/1000</f>
        <v>3652.91464</v>
      </c>
    </row>
    <row r="10" spans="1:4" ht="15" x14ac:dyDescent="0.25">
      <c r="A10" s="2" t="s">
        <v>16</v>
      </c>
      <c r="B10" s="2" t="s">
        <v>17</v>
      </c>
      <c r="C10" s="14">
        <v>630</v>
      </c>
      <c r="D10" s="14">
        <v>630</v>
      </c>
    </row>
    <row r="11" spans="1:4" ht="15" x14ac:dyDescent="0.25">
      <c r="A11" s="6" t="s">
        <v>18</v>
      </c>
      <c r="B11" s="6" t="s">
        <v>19</v>
      </c>
      <c r="C11" s="16">
        <v>7.5</v>
      </c>
      <c r="D11" s="16">
        <v>7.5</v>
      </c>
    </row>
    <row r="12" spans="1:4" ht="15" x14ac:dyDescent="0.25">
      <c r="A12" s="8" t="s">
        <v>20</v>
      </c>
      <c r="B12" s="17"/>
      <c r="C12" s="18"/>
      <c r="D12" s="19"/>
    </row>
    <row r="13" spans="1:4" ht="15" x14ac:dyDescent="0.25">
      <c r="A13" s="2" t="s">
        <v>21</v>
      </c>
      <c r="B13" s="2" t="s">
        <v>22</v>
      </c>
      <c r="C13" s="14">
        <v>5</v>
      </c>
      <c r="D13" s="14">
        <v>5.2</v>
      </c>
    </row>
    <row r="14" spans="1:4" ht="15" x14ac:dyDescent="0.25">
      <c r="A14" s="2" t="s">
        <v>23</v>
      </c>
      <c r="B14" s="2" t="s">
        <v>22</v>
      </c>
      <c r="C14" s="14">
        <v>4.4000000000000004</v>
      </c>
      <c r="D14" s="14">
        <v>4.4000000000000004</v>
      </c>
    </row>
    <row r="15" spans="1:4" ht="15" x14ac:dyDescent="0.25">
      <c r="A15" s="2" t="s">
        <v>24</v>
      </c>
      <c r="B15" s="2" t="s">
        <v>22</v>
      </c>
      <c r="C15" s="14">
        <v>5.4</v>
      </c>
      <c r="D15" s="14">
        <v>5.4</v>
      </c>
    </row>
    <row r="16" spans="1:4" ht="15" x14ac:dyDescent="0.25">
      <c r="A16" s="12" t="s">
        <v>25</v>
      </c>
      <c r="B16" s="12" t="s">
        <v>26</v>
      </c>
      <c r="C16" s="13">
        <v>18743</v>
      </c>
      <c r="D16" s="13">
        <v>18343</v>
      </c>
    </row>
    <row r="17" spans="1:4" ht="15" x14ac:dyDescent="0.25">
      <c r="A17" s="2" t="s">
        <v>27</v>
      </c>
      <c r="B17" s="2" t="s">
        <v>26</v>
      </c>
      <c r="C17" s="14">
        <v>11638</v>
      </c>
      <c r="D17" s="14">
        <v>11730</v>
      </c>
    </row>
    <row r="18" spans="1:4" ht="15" x14ac:dyDescent="0.25">
      <c r="A18" s="2" t="s">
        <v>28</v>
      </c>
      <c r="B18" s="2" t="s">
        <v>26</v>
      </c>
      <c r="C18" s="14">
        <f>C16-C17</f>
        <v>7105</v>
      </c>
      <c r="D18" s="14">
        <f>D16-D17</f>
        <v>6613</v>
      </c>
    </row>
    <row r="19" spans="1:4" ht="15" x14ac:dyDescent="0.25">
      <c r="A19" s="2" t="s">
        <v>29</v>
      </c>
      <c r="B19" s="3" t="s">
        <v>30</v>
      </c>
      <c r="C19" s="20">
        <v>950</v>
      </c>
      <c r="D19" s="20">
        <v>950</v>
      </c>
    </row>
    <row r="20" spans="1:4" ht="15" x14ac:dyDescent="0.25">
      <c r="A20" s="2" t="s">
        <v>31</v>
      </c>
      <c r="B20" s="3" t="s">
        <v>32</v>
      </c>
      <c r="C20" s="21">
        <f>((C19/2)*(C19/2)*3.14)/1000000</f>
        <v>0.7084625</v>
      </c>
      <c r="D20" s="21">
        <f>((D19/2)*(D19/2)*3.14)/1000000</f>
        <v>0.7084625</v>
      </c>
    </row>
    <row r="21" spans="1:4" ht="15" x14ac:dyDescent="0.25">
      <c r="A21" s="2" t="s">
        <v>33</v>
      </c>
      <c r="B21" s="3" t="s">
        <v>34</v>
      </c>
      <c r="C21" s="20">
        <v>4.1900000000000004</v>
      </c>
      <c r="D21" s="20">
        <v>4.67</v>
      </c>
    </row>
    <row r="22" spans="1:4" ht="15" x14ac:dyDescent="0.25">
      <c r="A22" s="2" t="s">
        <v>35</v>
      </c>
      <c r="B22" s="3" t="s">
        <v>34</v>
      </c>
      <c r="C22" s="20">
        <v>3.7</v>
      </c>
      <c r="D22" s="20">
        <v>4.2300000000000004</v>
      </c>
    </row>
    <row r="23" spans="1:4" ht="15" x14ac:dyDescent="0.25">
      <c r="A23" s="2" t="s">
        <v>36</v>
      </c>
      <c r="B23" s="3" t="s">
        <v>34</v>
      </c>
      <c r="C23" s="20">
        <v>4.4800000000000004</v>
      </c>
      <c r="D23" s="20">
        <v>3.78</v>
      </c>
    </row>
    <row r="24" spans="1:4" ht="15" x14ac:dyDescent="0.25">
      <c r="A24" s="2" t="s">
        <v>37</v>
      </c>
      <c r="B24" s="3" t="s">
        <v>34</v>
      </c>
      <c r="C24" s="20">
        <v>3.87</v>
      </c>
      <c r="D24" s="20">
        <v>3.56</v>
      </c>
    </row>
    <row r="25" spans="1:4" ht="15" x14ac:dyDescent="0.25">
      <c r="A25" s="2" t="s">
        <v>38</v>
      </c>
      <c r="B25" s="3" t="s">
        <v>34</v>
      </c>
      <c r="C25" s="20">
        <v>3.45</v>
      </c>
      <c r="D25" s="20">
        <v>3.23</v>
      </c>
    </row>
    <row r="26" spans="1:4" ht="15" x14ac:dyDescent="0.25">
      <c r="A26" s="2" t="s">
        <v>39</v>
      </c>
      <c r="B26" s="3" t="s">
        <v>34</v>
      </c>
      <c r="C26" s="20">
        <v>2.34</v>
      </c>
      <c r="D26" s="20">
        <v>2.4500000000000002</v>
      </c>
    </row>
    <row r="27" spans="1:4" ht="15" x14ac:dyDescent="0.25">
      <c r="A27" s="6" t="s">
        <v>40</v>
      </c>
      <c r="B27" s="7" t="s">
        <v>34</v>
      </c>
      <c r="C27" s="22">
        <f>AVERAGE(C21:C26)</f>
        <v>3.6716666666666669</v>
      </c>
      <c r="D27" s="22">
        <f>AVERAGE(D21:D26)</f>
        <v>3.6533333333333329</v>
      </c>
    </row>
    <row r="28" spans="1:4" ht="23.1" customHeight="1" x14ac:dyDescent="0.25">
      <c r="A28" s="8" t="s">
        <v>41</v>
      </c>
      <c r="B28" s="9"/>
      <c r="C28" s="23"/>
      <c r="D28" s="24"/>
    </row>
    <row r="29" spans="1:4" ht="15" x14ac:dyDescent="0.25">
      <c r="A29" s="25" t="s">
        <v>42</v>
      </c>
      <c r="B29" s="26" t="s">
        <v>43</v>
      </c>
      <c r="C29" s="27">
        <f>C27*C20*0.65</f>
        <v>1.6908047947916667</v>
      </c>
      <c r="D29" s="27">
        <f>D27*D20*0.65</f>
        <v>1.6823622833333329</v>
      </c>
    </row>
    <row r="30" spans="1:4" ht="15" x14ac:dyDescent="0.25">
      <c r="A30" s="28"/>
      <c r="B30" s="3" t="s">
        <v>15</v>
      </c>
      <c r="C30" s="29">
        <f>C29*2118.86</f>
        <v>3582.5786474922711</v>
      </c>
      <c r="D30" s="29">
        <f>D29*2118.86</f>
        <v>3564.6901476636658</v>
      </c>
    </row>
    <row r="31" spans="1:4" ht="15" x14ac:dyDescent="0.25">
      <c r="A31" s="2" t="s">
        <v>44</v>
      </c>
      <c r="B31" s="3" t="s">
        <v>45</v>
      </c>
      <c r="C31" s="30">
        <f>C18/C16%</f>
        <v>37.907485461238863</v>
      </c>
      <c r="D31" s="30">
        <f>D18/D16%</f>
        <v>36.051899907321591</v>
      </c>
    </row>
    <row r="32" spans="1:4" ht="15" x14ac:dyDescent="0.25">
      <c r="A32" s="2" t="s">
        <v>46</v>
      </c>
      <c r="B32" s="3" t="s">
        <v>15</v>
      </c>
      <c r="C32" s="30">
        <f>C30*C31/100</f>
        <v>1358.0654799355805</v>
      </c>
      <c r="D32" s="30">
        <f>D30*D31/100</f>
        <v>1285.138524041859</v>
      </c>
    </row>
    <row r="33" spans="1:4" ht="15" x14ac:dyDescent="0.25">
      <c r="A33" s="2" t="s">
        <v>47</v>
      </c>
      <c r="B33" s="3" t="s">
        <v>17</v>
      </c>
      <c r="C33" s="31">
        <f>1.732*6.61*56.25*0.916</f>
        <v>589.88499300000001</v>
      </c>
      <c r="D33" s="31">
        <f>1.732*6.61*55.5*0.91</f>
        <v>578.20750260000011</v>
      </c>
    </row>
    <row r="34" spans="1:4" ht="15" x14ac:dyDescent="0.25">
      <c r="A34" s="3" t="s">
        <v>48</v>
      </c>
      <c r="B34" s="3" t="s">
        <v>49</v>
      </c>
      <c r="C34" s="32">
        <f>C33/(C30)</f>
        <v>0.16465374553965673</v>
      </c>
      <c r="D34" s="32">
        <f>D33/(D30)</f>
        <v>0.16220414079438664</v>
      </c>
    </row>
    <row r="35" spans="1:4" ht="23.1" customHeight="1" x14ac:dyDescent="0.25">
      <c r="A35" s="33" t="s">
        <v>50</v>
      </c>
      <c r="B35" s="34"/>
      <c r="C35" s="34"/>
      <c r="D35" s="34"/>
    </row>
  </sheetData>
  <mergeCells count="3">
    <mergeCell ref="A1:D1"/>
    <mergeCell ref="C3:D3"/>
    <mergeCell ref="A29:A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AHP Air Compressor@ Velocity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2026-03-09T06:28:03Z</dcterms:created>
  <dcterms:modified xsi:type="dcterms:W3CDTF">2026-03-09T06:28:15Z</dcterms:modified>
</cp:coreProperties>
</file>